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Tiers" state="visible" r:id="rId5"/>
    <sheet sheetId="3" name="Venue economics" state="visible" r:id="rId6"/>
    <sheet sheetId="4" name="Capture curve" state="visible" r:id="rId7"/>
    <sheet sheetId="5" name="Cost to serve" state="visible" r:id="rId8"/>
    <sheet sheetId="6" name="Revenue model" state="visible" r:id="rId9"/>
  </sheets>
  <calcPr calcId="171027"/>
</workbook>
</file>

<file path=xl/sharedStrings.xml><?xml version="1.0" encoding="utf-8"?>
<sst xmlns="http://schemas.openxmlformats.org/spreadsheetml/2006/main" count="210" uniqueCount="177">
  <si>
    <t>HydrateServe - commercial pricing model</t>
  </si>
  <si>
    <t>Built 27 July 2026. Moves the commercial plan from a flat $699/month to four volume bands.</t>
  </si>
  <si>
    <t>What this is for</t>
  </si>
  <si>
    <t>The decision</t>
  </si>
  <si>
    <t>Whether to replace the flat $699/month commercial plan with volume bands.</t>
  </si>
  <si>
    <t>The problem</t>
  </si>
  <si>
    <t>A flat fee captured 46% of the value at 25 bottles/day and 8% at 120 - the same price for delivering $9,812 and $92,076 of annual saving.</t>
  </si>
  <si>
    <t>The answer</t>
  </si>
  <si>
    <t>Four bands: up to 40/day $699, 41-70 $999, 71-100 $1,299, 101+ $1,599.</t>
  </si>
  <si>
    <t>Why four, not three</t>
  </si>
  <si>
    <t>Three bands needed $400 steps, and a venue one bottle over a boundary lost $3,963 a year in saving. Four bands cut the step to $300 and the worst cliff to $2,763, with no loss of capture.</t>
  </si>
  <si>
    <t>How to use it</t>
  </si>
  <si>
    <t>Edit the yellow cells</t>
  </si>
  <si>
    <t>Every yellow cell is an input. Everything else is a formula and will update on its own.</t>
  </si>
  <si>
    <t>Start on Tiers</t>
  </si>
  <si>
    <t>Change a monthly fee there and every other sheet re-prices.</t>
  </si>
  <si>
    <t>Then Cost to serve</t>
  </si>
  <si>
    <t>Line items come from HydrateServe_Financial_Planner.xlsx. The planner marks them all as estimates, so treat the margin columns as indicative until real invoices land.</t>
  </si>
  <si>
    <t>Servicing is outsourced</t>
  </si>
  <si>
    <t>No salaried tech and no van: a plumber installs and maintains, paid per job. Set the rate and visit counts at the top of Cost to serve - the rate is the biggest single lever in the model.</t>
  </si>
  <si>
    <t>Keep the site in step</t>
  </si>
  <si>
    <t>The same bands are hardcoded in commercial/index.html as the TIERS array. Change both together.</t>
  </si>
  <si>
    <t>Colour key</t>
  </si>
  <si>
    <t>Yellow fill, blue text</t>
  </si>
  <si>
    <t>An input. Change these.</t>
  </si>
  <si>
    <t>Black text</t>
  </si>
  <si>
    <t>A formula. Do not overwrite.</t>
  </si>
  <si>
    <t>Green text</t>
  </si>
  <si>
    <t>A link to another sheet.</t>
  </si>
  <si>
    <t>Assumptions, and where they came from</t>
  </si>
  <si>
    <t>Trading days</t>
  </si>
  <si>
    <t>7 days a week, 52 weeks = 364 days. Matches the on-site calculator. A venue closed 2 days a week should have its daily volume dropped to match.</t>
  </si>
  <si>
    <t>Bottle size</t>
  </si>
  <si>
    <t>750ml equivalent.</t>
  </si>
  <si>
    <t>Bought-in prices</t>
  </si>
  <si>
    <t>$2.00-$2.60/bottle by venue type. These are the defaults already live in the website calculator, not audited invoices.</t>
  </si>
  <si>
    <t>Volumes</t>
  </si>
  <si>
    <t>The venue presets from the website calculator. Typical figures, not customer data.</t>
  </si>
  <si>
    <t>Cost to serve</t>
  </si>
  <si>
    <t>PLACEHOLDER. Install $2,200, hardware $3,400 over 5 years, CO2 $45/mth, filters $38/mth, service $55/mth. I had no cost data - replace these.</t>
  </si>
  <si>
    <t>GST</t>
  </si>
  <si>
    <t>All figures exclude GST.</t>
  </si>
  <si>
    <t>Revenue/margin</t>
  </si>
  <si>
    <t>Gross, before staff time, glassware and washing.</t>
  </si>
  <si>
    <t>Pricing tiers</t>
  </si>
  <si>
    <t>The only place fees are set. Change a monthly fee and the whole workbook re-prices.</t>
  </si>
  <si>
    <t>Tier</t>
  </si>
  <si>
    <t>From (bottles/day)</t>
  </si>
  <si>
    <t>To (bottles/day)</t>
  </si>
  <si>
    <t>Monthly fee</t>
  </si>
  <si>
    <t>Annual fee</t>
  </si>
  <si>
    <t>vs flat $699/yr</t>
  </si>
  <si>
    <t>Tier 1</t>
  </si>
  <si>
    <t>Tier 2</t>
  </si>
  <si>
    <t>Tier 3</t>
  </si>
  <si>
    <t>Tier 4</t>
  </si>
  <si>
    <t>and above</t>
  </si>
  <si>
    <t>Trading assumptions</t>
  </si>
  <si>
    <t>Trading days per week</t>
  </si>
  <si>
    <t>Weeks per year</t>
  </si>
  <si>
    <t>Trading days per year</t>
  </si>
  <si>
    <t>Old flat fee (for comparison)</t>
  </si>
  <si>
    <t>Bands are matched on "From" with an approximate MATCH, so the From column must stay sorted ascending.</t>
  </si>
  <si>
    <t>What each venue profile looks like</t>
  </si>
  <si>
    <t>Volumes and bought-in prices are the website calculator defaults. Band fee is looked up from the Tiers sheet.</t>
  </si>
  <si>
    <t>Venue profile</t>
  </si>
  <si>
    <t>Bottles /day</t>
  </si>
  <si>
    <t>Bottles /year</t>
  </si>
  <si>
    <t>Bought in $/btl</t>
  </si>
  <si>
    <t>They spend now</t>
  </si>
  <si>
    <t>Band fee /mth</t>
  </si>
  <si>
    <t>Band fee /year</t>
  </si>
  <si>
    <t>They save</t>
  </si>
  <si>
    <t>We capture</t>
  </si>
  <si>
    <t>Flat $699 capture</t>
  </si>
  <si>
    <t>Their $/btl with us</t>
  </si>
  <si>
    <t>Their water revenue</t>
  </si>
  <si>
    <t>Kitchen / Office</t>
  </si>
  <si>
    <t>not resold</t>
  </si>
  <si>
    <t>Cafe</t>
  </si>
  <si>
    <t>Bar / Club</t>
  </si>
  <si>
    <t>Restaurant</t>
  </si>
  <si>
    <t>Hotel / Function</t>
  </si>
  <si>
    <t>Large hotel group</t>
  </si>
  <si>
    <t>Totals / average</t>
  </si>
  <si>
    <t/>
  </si>
  <si>
    <t>Read the two capture columns together: banding lifts capture at the top end without any venue ceasing to save money.</t>
  </si>
  <si>
    <t>Value capture across the volume range</t>
  </si>
  <si>
    <t>Why a flat fee was the wrong shape: at $2.30/bottle bought in, flat capture collapses as volume rises.</t>
  </si>
  <si>
    <t>Bought-in price used for this sweep</t>
  </si>
  <si>
    <t>They spend</t>
  </si>
  <si>
    <t>Flat fee /yr</t>
  </si>
  <si>
    <t>Flat capture</t>
  </si>
  <si>
    <t>Band fee /yr</t>
  </si>
  <si>
    <t>Band capture</t>
  </si>
  <si>
    <t>They save (banded)</t>
  </si>
  <si>
    <t>Their $/btl (banded)</t>
  </si>
  <si>
    <t>Flat capture falls from 33% to 8% across this range. Banded holds between 19% and 83% - a consistent share of a growing prize.</t>
  </si>
  <si>
    <t>Break-even (the volume below which buying it in is cheaper) at this price: 11 bottles/day on Tier 1.</t>
  </si>
  <si>
    <t>Line items from HydrateServe_Financial_Planner.xlsx, re-cut for outsourced servicing - no salaried tech, no van.</t>
  </si>
  <si>
    <t>The planner marks every one of these as an estimate. They are better than guesses but they are not invoices - replace with actuals as they land.</t>
  </si>
  <si>
    <t>OUTSOURCED SERVICE (plumber, paid per job)</t>
  </si>
  <si>
    <t>Plumber rate per visit</t>
  </si>
  <si>
    <t>NZ trade callout. The single biggest lever on this sheet.</t>
  </si>
  <si>
    <t>Scheduled visits per year</t>
  </si>
  <si>
    <t>Filter change / sanitisation. Planner assumed quarterly.</t>
  </si>
  <si>
    <t>Reactive callouts per year</t>
  </si>
  <si>
    <t>Faults and adjustments. Raise this once you have fleet data.</t>
  </si>
  <si>
    <t>Service labour per system, per month</t>
  </si>
  <si>
    <t>Equipment &amp; installation - one-off per system</t>
  </si>
  <si>
    <t>Amount</t>
  </si>
  <si>
    <t>Note</t>
  </si>
  <si>
    <t>Sparkling/still under-counter system (carbonator + chiller)</t>
  </si>
  <si>
    <t>Planner - commercial unit, Eastpure/EU supplier quote to confirm</t>
  </si>
  <si>
    <t>Tap / font hardware</t>
  </si>
  <si>
    <t>Planner - premium font consistent with brand positioning</t>
  </si>
  <si>
    <t>Filtration setup (carbon block / RO)</t>
  </si>
  <si>
    <t>Planner - align with Hydrate Filters landed cost</t>
  </si>
  <si>
    <t>CO2 cylinder, regulator &amp; lines</t>
  </si>
  <si>
    <t>Planner - Eziswap / BOC setup</t>
  </si>
  <si>
    <t>Installation labour</t>
  </si>
  <si>
    <t>Planner - plumber/tech half-day</t>
  </si>
  <si>
    <t>Total capex per system</t>
  </si>
  <si>
    <t>Servicing &amp; consumables - per system, per month</t>
  </si>
  <si>
    <t>Scales with volume?</t>
  </si>
  <si>
    <t>CO2 swaps</t>
  </si>
  <si>
    <t>Yes</t>
  </si>
  <si>
    <t>Planner - ~1 Eziswap 6kg swap/month at the baseline volume</t>
  </si>
  <si>
    <t>Filter replacements (amortised)</t>
  </si>
  <si>
    <t>Planner - cartridge cost spread across change interval</t>
  </si>
  <si>
    <t>Consumables (bottles, caps, sanitiser)</t>
  </si>
  <si>
    <t>Planner - glass breakage/replacement included</t>
  </si>
  <si>
    <t>Outsourced service labour</t>
  </si>
  <si>
    <t>No</t>
  </si>
  <si>
    <t>Plumber, from the block above. Per site, not per bottle</t>
  </si>
  <si>
    <t>Parts &amp; warranty provision</t>
  </si>
  <si>
    <t>Planner - refine with fleet data</t>
  </si>
  <si>
    <t>Subtotal - scales with volume</t>
  </si>
  <si>
    <t>CO2, filters and consumables all track how much water goes out.</t>
  </si>
  <si>
    <t>Subtotal - fixed per site</t>
  </si>
  <si>
    <t>Total at the baseline volume</t>
  </si>
  <si>
    <t>Baseline volume those figures assume (bottles/day)</t>
  </si>
  <si>
    <t>The cafe preset. Cost at any other volume scales the variable subtotal from here.</t>
  </si>
  <si>
    <t>OVERHEADS</t>
  </si>
  <si>
    <t>Base monthly overheads (admin, software, insurance)</t>
  </si>
  <si>
    <t>Fixed regardless of fleet size.</t>
  </si>
  <si>
    <t>No van and no service-tech salary: installation and maintenance are outsourced to a plumber and priced per job above. That removes the 80-systems-per-tech capacity step, so profit grows smoothly instead of dropping at every hire.</t>
  </si>
  <si>
    <t>Margin by band (at the top of each band - worst case)</t>
  </si>
  <si>
    <t>Fee /month</t>
  </si>
  <si>
    <t>Servicing /month</t>
  </si>
  <si>
    <t>Gross margin</t>
  </si>
  <si>
    <t>Margin %</t>
  </si>
  <si>
    <t>Payback (months)</t>
  </si>
  <si>
    <t>Tier 1 (1-40/day)</t>
  </si>
  <si>
    <t>Tier 2 (41-70/day)</t>
  </si>
  <si>
    <t>Tier 3 (71-100/day)</t>
  </si>
  <si>
    <t>Tier 4 (101+/day)</t>
  </si>
  <si>
    <t>The top band is open-ended, so its margin keeps falling as volume climbs: at the current numbers Tier 4 stops paying at about 259 bottles/day. Either cap it or add a per-bottle charge above ~200/day.</t>
  </si>
  <si>
    <t>What a book of business looks like</t>
  </si>
  <si>
    <t>Change the customer counts in yellow. Servicing is costed at each band’s mid-volume, not a flat average.</t>
  </si>
  <si>
    <t>Customers</t>
  </si>
  <si>
    <t>Mid volume</t>
  </si>
  <si>
    <t>Servicing /system</t>
  </si>
  <si>
    <t>Contribution /mth</t>
  </si>
  <si>
    <t>Capex to install</t>
  </si>
  <si>
    <t>Total</t>
  </si>
  <si>
    <t>Contribution after servicing</t>
  </si>
  <si>
    <t>Less fixed overheads</t>
  </si>
  <si>
    <t>Net operating profit / month</t>
  </si>
  <si>
    <t>Net operating profit / year</t>
  </si>
  <si>
    <t>Break-even fleet size (systems)</t>
  </si>
  <si>
    <t>Against the old flat fee</t>
  </si>
  <si>
    <t>Revenue /year, flat $699</t>
  </si>
  <si>
    <t>Revenue /year, banded</t>
  </si>
  <si>
    <t>Difference</t>
  </si>
  <si>
    <t>Customer counts are an illustrative mix (12 / 6 / 3 / 1), not a forecast. Change them to your pipeline.</t>
  </si>
  <si>
    <t>Capex is the cash needed to put those systems in, not a monthly cost - payback per system is on the Cost to serve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</si>
</sst>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;($#,##0);-"/>
    <numFmt numFmtId="165" formatCode="$#,##0.00;($#,##0.00);-"/>
    <numFmt numFmtId="166" formatCode="0.0%"/>
    <numFmt numFmtId="167" formatCode="0.0"/>
  </numFmts>
  <fonts count="14" x14ac:knownFonts="1">
    <font>
      <color theme="1"/>
      <family val="2"/>
      <scheme val="minor"/>
      <sz val="11"/>
      <name val="Calibri"/>
    </font>
    <font>
      <b/>
      <color rgb="FF0F5468"/>
      <sz val="16"/>
      <name val="Arial"/>
    </font>
    <font>
      <i/>
      <color rgb="FF7C929C"/>
      <sz val="9"/>
      <name val="Arial"/>
    </font>
    <font>
      <b/>
      <color rgb="FF0F5468"/>
      <sz val="11"/>
      <name val="Arial"/>
    </font>
    <font>
      <b/>
      <color rgb="FF0B1E26"/>
      <sz val="10"/>
      <name val="Arial"/>
    </font>
    <font>
      <color rgb="FF0B1E26"/>
      <sz val="10"/>
      <name val="Arial"/>
    </font>
    <font>
      <b/>
      <color rgb="FF0000FF"/>
      <sz val="10"/>
      <name val="Arial"/>
    </font>
    <font>
      <color rgb="FF008000"/>
      <sz val="10"/>
      <name val="Arial"/>
    </font>
    <font>
      <b/>
      <color rgb="FFFFFFFF"/>
      <sz val="9"/>
      <name val="Arial"/>
    </font>
    <font>
      <b/>
      <color rgb="FF0F5468"/>
      <sz val="10"/>
      <name val="Arial"/>
    </font>
    <font>
      <color rgb="FF7C929C"/>
      <sz val="10"/>
      <name val="Arial"/>
    </font>
    <font>
      <b/>
      <color rgb="FFB00000"/>
      <sz val="10"/>
      <name val="Arial"/>
    </font>
    <font>
      <color rgb="FF7C929C"/>
      <sz val="9"/>
      <name val="Arial"/>
    </font>
    <font>
      <b/>
      <color rgb="FF008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F5468"/>
      </patternFill>
    </fill>
    <fill>
      <patternFill patternType="solid">
        <fgColor rgb="FFF3F7F8"/>
      </patternFill>
    </fill>
  </fills>
  <borders count="2">
    <border>
      <left/>
      <right/>
      <top/>
      <bottom/>
      <diagonal/>
    </border>
    <border>
      <left style="thin">
        <color rgb="FFDCE6E9"/>
      </left>
      <right style="thin">
        <color rgb="FFDCE6E9"/>
      </right>
      <top style="thin">
        <color rgb="FFDCE6E9"/>
      </top>
      <bottom style="thin">
        <color rgb="FFDCE6E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5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0" fontId="6" fillId="2" borderId="1" xfId="0" applyFont="1" applyFill="1" applyBorder="1" applyAlignment="1">
      <alignment horizontal="right"/>
    </xf>
    <xf numFmtId="164" fontId="6" fillId="2" borderId="1" xfId="0" applyNumberFormat="1" applyFont="1" applyFill="1" applyBorder="1"/>
    <xf numFmtId="164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9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3" fontId="5" fillId="0" borderId="1" xfId="0" applyNumberFormat="1" applyFont="1" applyBorder="1"/>
    <xf numFmtId="165" fontId="6" fillId="2" borderId="1" xfId="0" applyNumberFormat="1" applyFont="1" applyFill="1" applyBorder="1"/>
    <xf numFmtId="164" fontId="7" fillId="0" borderId="1" xfId="0" applyNumberFormat="1" applyFont="1" applyBorder="1"/>
    <xf numFmtId="166" fontId="4" fillId="0" borderId="1" xfId="0" applyNumberFormat="1" applyFont="1" applyBorder="1"/>
    <xf numFmtId="166" fontId="10" fillId="0" borderId="1" xfId="0" applyNumberFormat="1" applyFont="1" applyBorder="1"/>
    <xf numFmtId="165" fontId="5" fillId="0" borderId="1" xfId="0" applyNumberFormat="1" applyFont="1" applyBorder="1"/>
    <xf numFmtId="0" fontId="4" fillId="4" borderId="1" xfId="0" applyFont="1" applyFill="1" applyBorder="1"/>
    <xf numFmtId="0" fontId="5" fillId="4" borderId="1" xfId="0" applyFont="1" applyFill="1" applyBorder="1"/>
    <xf numFmtId="164" fontId="4" fillId="4" borderId="1" xfId="0" applyNumberFormat="1" applyFont="1" applyFill="1" applyBorder="1"/>
    <xf numFmtId="166" fontId="4" fillId="4" borderId="1" xfId="0" applyNumberFormat="1" applyFont="1" applyFill="1" applyBorder="1"/>
    <xf numFmtId="166" fontId="5" fillId="4" borderId="1" xfId="0" applyNumberFormat="1" applyFont="1" applyFill="1" applyBorder="1"/>
    <xf numFmtId="166" fontId="5" fillId="0" borderId="1" xfId="0" applyNumberFormat="1" applyFont="1" applyBorder="1"/>
    <xf numFmtId="0" fontId="11" fillId="0" borderId="0" xfId="0" applyFont="1"/>
    <xf numFmtId="0" fontId="12" fillId="0" borderId="1" xfId="0" applyFont="1" applyBorder="1"/>
    <xf numFmtId="165" fontId="4" fillId="0" borderId="1" xfId="0" applyNumberFormat="1" applyFont="1" applyBorder="1"/>
    <xf numFmtId="165" fontId="7" fillId="0" borderId="1" xfId="0" applyNumberFormat="1" applyFont="1" applyBorder="1"/>
    <xf numFmtId="165" fontId="4" fillId="4" borderId="1" xfId="0" applyNumberFormat="1" applyFont="1" applyFill="1" applyBorder="1"/>
    <xf numFmtId="167" fontId="5" fillId="0" borderId="1" xfId="0" applyNumberFormat="1" applyFont="1" applyBorder="1"/>
    <xf numFmtId="0" fontId="4" fillId="4" borderId="1" xfId="0" applyFont="1" applyFill="1" applyBorder="1" applyAlignment="1">
      <alignment horizontal="right"/>
    </xf>
    <xf numFmtId="164" fontId="13" fillId="0" borderId="1" xfId="0" applyNumberFormat="1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78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2:2" x14ac:dyDescent="0.25">
      <c r="B4" s="3" t="s">
        <v>2</v>
      </c>
    </row>
    <row r="5" ht="14" customHeight="1" spans="2:3" x14ac:dyDescent="0.25">
      <c r="B5" s="4" t="s">
        <v>3</v>
      </c>
      <c r="C5" s="5" t="s">
        <v>4</v>
      </c>
    </row>
    <row r="6" ht="28" customHeight="1" spans="2:3" x14ac:dyDescent="0.25">
      <c r="B6" s="4" t="s">
        <v>5</v>
      </c>
      <c r="C6" s="5" t="s">
        <v>6</v>
      </c>
    </row>
    <row r="7" ht="14" customHeight="1" spans="2:3" x14ac:dyDescent="0.25">
      <c r="B7" s="4" t="s">
        <v>7</v>
      </c>
      <c r="C7" s="5" t="s">
        <v>8</v>
      </c>
    </row>
    <row r="8" ht="28" customHeight="1" spans="2:3" x14ac:dyDescent="0.25">
      <c r="B8" s="4" t="s">
        <v>9</v>
      </c>
      <c r="C8" s="5" t="s">
        <v>10</v>
      </c>
    </row>
    <row r="10" spans="2:2" x14ac:dyDescent="0.25">
      <c r="B10" s="3" t="s">
        <v>11</v>
      </c>
    </row>
    <row r="11" ht="14" customHeight="1" spans="2:3" x14ac:dyDescent="0.25">
      <c r="B11" s="4" t="s">
        <v>12</v>
      </c>
      <c r="C11" s="5" t="s">
        <v>13</v>
      </c>
    </row>
    <row r="12" ht="14" customHeight="1" spans="2:3" x14ac:dyDescent="0.25">
      <c r="B12" s="4" t="s">
        <v>14</v>
      </c>
      <c r="C12" s="5" t="s">
        <v>15</v>
      </c>
    </row>
    <row r="13" ht="28" customHeight="1" spans="2:3" x14ac:dyDescent="0.25">
      <c r="B13" s="4" t="s">
        <v>16</v>
      </c>
      <c r="C13" s="5" t="s">
        <v>17</v>
      </c>
    </row>
    <row r="14" ht="28" customHeight="1" spans="2:3" x14ac:dyDescent="0.25">
      <c r="B14" s="4" t="s">
        <v>18</v>
      </c>
      <c r="C14" s="5" t="s">
        <v>19</v>
      </c>
    </row>
    <row r="15" ht="14" customHeight="1" spans="2:3" x14ac:dyDescent="0.25">
      <c r="B15" s="4" t="s">
        <v>20</v>
      </c>
      <c r="C15" s="5" t="s">
        <v>21</v>
      </c>
    </row>
    <row r="17" spans="2:2" x14ac:dyDescent="0.25">
      <c r="B17" s="3" t="s">
        <v>22</v>
      </c>
    </row>
    <row r="18" spans="2:3" x14ac:dyDescent="0.25">
      <c r="B18" s="6" t="s">
        <v>23</v>
      </c>
      <c r="C18" s="7" t="s">
        <v>24</v>
      </c>
    </row>
    <row r="19" spans="2:3" x14ac:dyDescent="0.25">
      <c r="B19" s="7" t="s">
        <v>25</v>
      </c>
      <c r="C19" s="7" t="s">
        <v>26</v>
      </c>
    </row>
    <row r="20" spans="2:3" x14ac:dyDescent="0.25">
      <c r="B20" s="8" t="s">
        <v>27</v>
      </c>
      <c r="C20" s="7" t="s">
        <v>28</v>
      </c>
    </row>
    <row r="22" spans="2:2" x14ac:dyDescent="0.25">
      <c r="B22" s="3" t="s">
        <v>29</v>
      </c>
    </row>
    <row r="23" ht="28" customHeight="1" spans="2:3" x14ac:dyDescent="0.25">
      <c r="B23" s="4" t="s">
        <v>30</v>
      </c>
      <c r="C23" s="5" t="s">
        <v>31</v>
      </c>
    </row>
    <row r="24" ht="14" customHeight="1" spans="2:3" x14ac:dyDescent="0.25">
      <c r="B24" s="4" t="s">
        <v>32</v>
      </c>
      <c r="C24" s="5" t="s">
        <v>33</v>
      </c>
    </row>
    <row r="25" ht="28" customHeight="1" spans="2:3" x14ac:dyDescent="0.25">
      <c r="B25" s="4" t="s">
        <v>34</v>
      </c>
      <c r="C25" s="5" t="s">
        <v>35</v>
      </c>
    </row>
    <row r="26" ht="14" customHeight="1" spans="2:3" x14ac:dyDescent="0.25">
      <c r="B26" s="4" t="s">
        <v>36</v>
      </c>
      <c r="C26" s="5" t="s">
        <v>37</v>
      </c>
    </row>
    <row r="27" ht="28" customHeight="1" spans="2:3" x14ac:dyDescent="0.25">
      <c r="B27" s="4" t="s">
        <v>38</v>
      </c>
      <c r="C27" s="5" t="s">
        <v>39</v>
      </c>
    </row>
    <row r="28" ht="14" customHeight="1" spans="2:3" x14ac:dyDescent="0.25">
      <c r="B28" s="4" t="s">
        <v>40</v>
      </c>
      <c r="C28" s="5" t="s">
        <v>41</v>
      </c>
    </row>
    <row r="29" ht="14" customHeight="1" spans="2:3" x14ac:dyDescent="0.25">
      <c r="B29" s="4" t="s">
        <v>42</v>
      </c>
      <c r="C29" s="5" t="s">
        <v>43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1" width="16" customWidth="1"/>
    <col min="2" max="3" width="20" customWidth="1"/>
    <col min="4" max="5" width="18" customWidth="1"/>
    <col min="6" max="6" width="22" customWidth="1"/>
  </cols>
  <sheetData>
    <row r="1" ht="26" customHeight="1" spans="1:8" x14ac:dyDescent="0.25">
      <c r="A1" s="1" t="s">
        <v>44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45</v>
      </c>
      <c r="B2" s="2"/>
      <c r="C2" s="2"/>
      <c r="D2" s="2"/>
      <c r="E2" s="2"/>
      <c r="F2" s="2"/>
      <c r="G2" s="2"/>
      <c r="H2" s="2"/>
    </row>
    <row r="4" ht="30" customHeight="1" spans="1:6" x14ac:dyDescent="0.25">
      <c r="A4" s="9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</row>
    <row r="5" spans="1:6" x14ac:dyDescent="0.25">
      <c r="A5" s="11" t="s">
        <v>52</v>
      </c>
      <c r="B5" s="12">
        <v>1</v>
      </c>
      <c r="C5" s="12">
        <v>40</v>
      </c>
      <c r="D5" s="13">
        <v>699</v>
      </c>
      <c r="E5" s="14">
        <f>D5*12</f>
        <v>8388</v>
      </c>
      <c r="F5" s="14">
        <f>E5-Tiers!$B$15*12</f>
        <v>0</v>
      </c>
    </row>
    <row r="6" spans="1:6" x14ac:dyDescent="0.25">
      <c r="A6" s="11" t="s">
        <v>53</v>
      </c>
      <c r="B6" s="12">
        <v>41</v>
      </c>
      <c r="C6" s="12">
        <v>70</v>
      </c>
      <c r="D6" s="13">
        <v>999</v>
      </c>
      <c r="E6" s="14">
        <f>D6*12</f>
        <v>11988</v>
      </c>
      <c r="F6" s="14">
        <f>E6-Tiers!$B$15*12</f>
        <v>3600</v>
      </c>
    </row>
    <row r="7" spans="1:6" x14ac:dyDescent="0.25">
      <c r="A7" s="11" t="s">
        <v>54</v>
      </c>
      <c r="B7" s="12">
        <v>71</v>
      </c>
      <c r="C7" s="12">
        <v>100</v>
      </c>
      <c r="D7" s="13">
        <v>1299</v>
      </c>
      <c r="E7" s="14">
        <f>D7*12</f>
        <v>15588</v>
      </c>
      <c r="F7" s="14">
        <f>E7-Tiers!$B$15*12</f>
        <v>7200</v>
      </c>
    </row>
    <row r="8" spans="1:6" x14ac:dyDescent="0.25">
      <c r="A8" s="11" t="s">
        <v>55</v>
      </c>
      <c r="B8" s="12">
        <v>101</v>
      </c>
      <c r="C8" s="15" t="s">
        <v>56</v>
      </c>
      <c r="D8" s="13">
        <v>1599</v>
      </c>
      <c r="E8" s="14">
        <f>D8*12</f>
        <v>19188</v>
      </c>
      <c r="F8" s="14">
        <f>E8-Tiers!$B$15*12</f>
        <v>10800</v>
      </c>
    </row>
    <row r="10" spans="1:1" x14ac:dyDescent="0.25">
      <c r="A10" s="16" t="s">
        <v>57</v>
      </c>
    </row>
    <row r="11" spans="1:2" x14ac:dyDescent="0.25">
      <c r="A11" s="17" t="s">
        <v>58</v>
      </c>
      <c r="B11" s="12">
        <v>7</v>
      </c>
    </row>
    <row r="12" spans="1:2" x14ac:dyDescent="0.25">
      <c r="A12" s="17" t="s">
        <v>59</v>
      </c>
      <c r="B12" s="12">
        <v>52</v>
      </c>
    </row>
    <row r="13" spans="1:2" x14ac:dyDescent="0.25">
      <c r="A13" s="11" t="s">
        <v>60</v>
      </c>
      <c r="B13" s="18">
        <f>B11*B12</f>
        <v>364</v>
      </c>
    </row>
    <row r="15" spans="1:2" x14ac:dyDescent="0.25">
      <c r="A15" s="17" t="s">
        <v>61</v>
      </c>
      <c r="B15" s="13">
        <v>699</v>
      </c>
    </row>
    <row r="17" spans="1:1" x14ac:dyDescent="0.25">
      <c r="A17" s="2" t="s">
        <v>62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12" customWidth="1"/>
    <col min="4" max="5" width="13" customWidth="1"/>
    <col min="6" max="6" width="12" customWidth="1"/>
    <col min="7" max="8" width="13" customWidth="1"/>
    <col min="9" max="9" width="12" customWidth="1"/>
    <col min="10" max="12" width="13" customWidth="1"/>
  </cols>
  <sheetData>
    <row r="1" ht="26" customHeight="1" spans="1:8" x14ac:dyDescent="0.25">
      <c r="A1" s="1" t="s">
        <v>63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64</v>
      </c>
      <c r="B2" s="2"/>
      <c r="C2" s="2"/>
      <c r="D2" s="2"/>
      <c r="E2" s="2"/>
      <c r="F2" s="2"/>
      <c r="G2" s="2"/>
      <c r="H2" s="2"/>
    </row>
    <row r="5" ht="30" customHeight="1" spans="1:12" x14ac:dyDescent="0.25">
      <c r="A5" s="9" t="s">
        <v>65</v>
      </c>
      <c r="B5" s="10" t="s">
        <v>66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72</v>
      </c>
      <c r="I5" s="10" t="s">
        <v>73</v>
      </c>
      <c r="J5" s="10" t="s">
        <v>74</v>
      </c>
      <c r="K5" s="10" t="s">
        <v>75</v>
      </c>
      <c r="L5" s="10" t="s">
        <v>76</v>
      </c>
    </row>
    <row r="6" spans="1:12" x14ac:dyDescent="0.25">
      <c r="A6" s="11" t="s">
        <v>77</v>
      </c>
      <c r="B6" s="12">
        <v>25</v>
      </c>
      <c r="C6" s="19">
        <f>B6*Tiers!$B$13</f>
        <v>9100</v>
      </c>
      <c r="D6" s="20">
        <v>2</v>
      </c>
      <c r="E6" s="14">
        <f>C6*D6</f>
        <v>18200</v>
      </c>
      <c r="F6" s="21">
        <f>INDEX(Tiers!$D$5:$D$8,MATCH(B6,Tiers!$B$5:$B$8,1))</f>
        <v>699</v>
      </c>
      <c r="G6" s="14">
        <f>F6*12</f>
        <v>8388</v>
      </c>
      <c r="H6" s="14">
        <f>E6-G6</f>
        <v>9812</v>
      </c>
      <c r="I6" s="22">
        <f>IFERROR(G6/E6,0)</f>
        <v>0.46087912087912086</v>
      </c>
      <c r="J6" s="23">
        <f>IFERROR(Tiers!$B$15*12/E6,0)</f>
        <v>0.46087912087912086</v>
      </c>
      <c r="K6" s="24">
        <f>IFERROR(G6/C6,0)</f>
        <v>0.9217582417582417</v>
      </c>
      <c r="L6" s="15" t="s">
        <v>78</v>
      </c>
    </row>
    <row r="7" spans="1:12" x14ac:dyDescent="0.25">
      <c r="A7" s="11" t="s">
        <v>79</v>
      </c>
      <c r="B7" s="12">
        <v>30</v>
      </c>
      <c r="C7" s="19">
        <f>B7*Tiers!$B$13</f>
        <v>10920</v>
      </c>
      <c r="D7" s="20">
        <v>2.2</v>
      </c>
      <c r="E7" s="14">
        <f>C7*D7</f>
        <v>24024.000000000004</v>
      </c>
      <c r="F7" s="21">
        <f>INDEX(Tiers!$D$5:$D$8,MATCH(B7,Tiers!$B$5:$B$8,1))</f>
        <v>699</v>
      </c>
      <c r="G7" s="14">
        <f>F7*12</f>
        <v>8388</v>
      </c>
      <c r="H7" s="14">
        <f>E7-G7</f>
        <v>15636.000000000004</v>
      </c>
      <c r="I7" s="22">
        <f>IFERROR(G7/E7,0)</f>
        <v>0.3491508491508491</v>
      </c>
      <c r="J7" s="23">
        <f>IFERROR(Tiers!$B$15*12/E7,0)</f>
        <v>0.3491508491508491</v>
      </c>
      <c r="K7" s="24">
        <f>IFERROR(G7/C7,0)</f>
        <v>0.7681318681318682</v>
      </c>
      <c r="L7" s="14">
        <v>74256</v>
      </c>
    </row>
    <row r="8" spans="1:12" x14ac:dyDescent="0.25">
      <c r="A8" s="11" t="s">
        <v>80</v>
      </c>
      <c r="B8" s="12">
        <v>45</v>
      </c>
      <c r="C8" s="19">
        <f>B8*Tiers!$B$13</f>
        <v>16380</v>
      </c>
      <c r="D8" s="20">
        <v>2.4</v>
      </c>
      <c r="E8" s="14">
        <f>C8*D8</f>
        <v>39312</v>
      </c>
      <c r="F8" s="21">
        <f>INDEX(Tiers!$D$5:$D$8,MATCH(B8,Tiers!$B$5:$B$8,1))</f>
        <v>999</v>
      </c>
      <c r="G8" s="14">
        <f>F8*12</f>
        <v>11988</v>
      </c>
      <c r="H8" s="14">
        <f>E8-G8</f>
        <v>27324</v>
      </c>
      <c r="I8" s="22">
        <f>IFERROR(G8/E8,0)</f>
        <v>0.30494505494505497</v>
      </c>
      <c r="J8" s="23">
        <f>IFERROR(Tiers!$B$15*12/E8,0)</f>
        <v>0.21336996336996336</v>
      </c>
      <c r="K8" s="24">
        <f>IFERROR(G8/C8,0)</f>
        <v>0.7318681318681318</v>
      </c>
      <c r="L8" s="14">
        <v>116298</v>
      </c>
    </row>
    <row r="9" spans="1:12" x14ac:dyDescent="0.25">
      <c r="A9" s="11" t="s">
        <v>81</v>
      </c>
      <c r="B9" s="12">
        <v>55</v>
      </c>
      <c r="C9" s="19">
        <f>B9*Tiers!$B$13</f>
        <v>20020</v>
      </c>
      <c r="D9" s="20">
        <v>2.6</v>
      </c>
      <c r="E9" s="14">
        <f>C9*D9</f>
        <v>52052</v>
      </c>
      <c r="F9" s="21">
        <f>INDEX(Tiers!$D$5:$D$8,MATCH(B9,Tiers!$B$5:$B$8,1))</f>
        <v>999</v>
      </c>
      <c r="G9" s="14">
        <f>F9*12</f>
        <v>11988</v>
      </c>
      <c r="H9" s="14">
        <f>E9-G9</f>
        <v>40064</v>
      </c>
      <c r="I9" s="22">
        <f>IFERROR(G9/E9,0)</f>
        <v>0.23030815338507646</v>
      </c>
      <c r="J9" s="23">
        <f>IFERROR(Tiers!$B$15*12/E9,0)</f>
        <v>0.16114654576193038</v>
      </c>
      <c r="K9" s="24">
        <f>IFERROR(G9/C9,0)</f>
        <v>0.5988011988011988</v>
      </c>
      <c r="L9" s="14">
        <v>144144</v>
      </c>
    </row>
    <row r="10" spans="1:12" x14ac:dyDescent="0.25">
      <c r="A10" s="11" t="s">
        <v>82</v>
      </c>
      <c r="B10" s="12">
        <v>90</v>
      </c>
      <c r="C10" s="19">
        <f>B10*Tiers!$B$13</f>
        <v>32760</v>
      </c>
      <c r="D10" s="20">
        <v>2.3</v>
      </c>
      <c r="E10" s="14">
        <f>C10*D10</f>
        <v>75348</v>
      </c>
      <c r="F10" s="21">
        <f>INDEX(Tiers!$D$5:$D$8,MATCH(B10,Tiers!$B$5:$B$8,1))</f>
        <v>1299</v>
      </c>
      <c r="G10" s="14">
        <f>F10*12</f>
        <v>15588</v>
      </c>
      <c r="H10" s="14">
        <f>E10-G10</f>
        <v>59760</v>
      </c>
      <c r="I10" s="22">
        <f>IFERROR(G10/E10,0)</f>
        <v>0.20688007644529383</v>
      </c>
      <c r="J10" s="23">
        <f>IFERROR(Tiers!$B$15*12/E10,0)</f>
        <v>0.11132345914954611</v>
      </c>
      <c r="K10" s="24">
        <f>IFERROR(G10/C10,0)</f>
        <v>0.4758241758241758</v>
      </c>
      <c r="L10" s="14">
        <v>229320</v>
      </c>
    </row>
    <row r="11" spans="1:12" x14ac:dyDescent="0.25">
      <c r="A11" s="11" t="s">
        <v>83</v>
      </c>
      <c r="B11" s="12">
        <v>120</v>
      </c>
      <c r="C11" s="19">
        <f>B11*Tiers!$B$13</f>
        <v>43680</v>
      </c>
      <c r="D11" s="20">
        <v>2.3</v>
      </c>
      <c r="E11" s="14">
        <f>C11*D11</f>
        <v>100463.99999999999</v>
      </c>
      <c r="F11" s="21">
        <f>INDEX(Tiers!$D$5:$D$8,MATCH(B11,Tiers!$B$5:$B$8,1))</f>
        <v>1599</v>
      </c>
      <c r="G11" s="14">
        <f>F11*12</f>
        <v>19188</v>
      </c>
      <c r="H11" s="14">
        <f>E11-G11</f>
        <v>81275.99999999999</v>
      </c>
      <c r="I11" s="22">
        <f>IFERROR(G11/E11,0)</f>
        <v>0.1909937888198758</v>
      </c>
      <c r="J11" s="23">
        <f>IFERROR(Tiers!$B$15*12/E11,0)</f>
        <v>0.0834925943621596</v>
      </c>
      <c r="K11" s="24">
        <f>IFERROR(G11/C11,0)</f>
        <v>0.4392857142857143</v>
      </c>
      <c r="L11" s="14">
        <v>305760</v>
      </c>
    </row>
    <row r="12" spans="1:12" x14ac:dyDescent="0.25">
      <c r="A12" s="25" t="s">
        <v>84</v>
      </c>
      <c r="B12" s="26" t="s">
        <v>85</v>
      </c>
      <c r="C12" s="26" t="s">
        <v>85</v>
      </c>
      <c r="D12" s="26" t="s">
        <v>85</v>
      </c>
      <c r="E12" s="27">
        <f>SUM(E6:E11)</f>
        <v>309400</v>
      </c>
      <c r="F12" s="26" t="s">
        <v>85</v>
      </c>
      <c r="G12" s="27">
        <f>SUM(G6:G11)</f>
        <v>75528</v>
      </c>
      <c r="H12" s="27">
        <f>SUM(H6:H11)</f>
        <v>233872</v>
      </c>
      <c r="I12" s="28">
        <f>IFERROR(G12/E12,0)</f>
        <v>0.24411118293471235</v>
      </c>
      <c r="J12" s="29">
        <f>IFERROR(Tiers!$B$15*12*6/E12,0)</f>
        <v>0.16266321913380738</v>
      </c>
      <c r="K12" s="26" t="s">
        <v>85</v>
      </c>
      <c r="L12" s="26" t="s">
        <v>85</v>
      </c>
    </row>
    <row r="14" spans="1:1" x14ac:dyDescent="0.25">
      <c r="A14" s="2" t="s">
        <v>86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5" customWidth="1"/>
    <col min="6" max="6" width="14" customWidth="1"/>
    <col min="7" max="7" width="15" customWidth="1"/>
    <col min="8" max="8" width="17" customWidth="1"/>
    <col min="9" max="9" width="18" customWidth="1"/>
  </cols>
  <sheetData>
    <row r="1" ht="26" customHeight="1" spans="1:8" x14ac:dyDescent="0.25">
      <c r="A1" s="1" t="s">
        <v>87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88</v>
      </c>
      <c r="B2" s="2"/>
      <c r="C2" s="2"/>
      <c r="D2" s="2"/>
      <c r="E2" s="2"/>
      <c r="F2" s="2"/>
      <c r="G2" s="2"/>
      <c r="H2" s="2"/>
    </row>
    <row r="4" spans="1:2" x14ac:dyDescent="0.25">
      <c r="A4" s="17" t="s">
        <v>89</v>
      </c>
      <c r="B4" s="20">
        <v>2.3</v>
      </c>
    </row>
    <row r="5" ht="30" customHeight="1" spans="1:9" x14ac:dyDescent="0.25">
      <c r="A5" s="9" t="s">
        <v>66</v>
      </c>
      <c r="B5" s="10" t="s">
        <v>67</v>
      </c>
      <c r="C5" s="10" t="s">
        <v>90</v>
      </c>
      <c r="D5" s="10" t="s">
        <v>91</v>
      </c>
      <c r="E5" s="10" t="s">
        <v>92</v>
      </c>
      <c r="F5" s="10" t="s">
        <v>93</v>
      </c>
      <c r="G5" s="10" t="s">
        <v>94</v>
      </c>
      <c r="H5" s="10" t="s">
        <v>95</v>
      </c>
      <c r="I5" s="10" t="s">
        <v>96</v>
      </c>
    </row>
    <row r="6" spans="1:9" x14ac:dyDescent="0.25">
      <c r="A6" s="18">
        <v>10</v>
      </c>
      <c r="B6" s="19">
        <f>A6*Tiers!$B$13</f>
        <v>3640</v>
      </c>
      <c r="C6" s="14">
        <f>B6*$B$4</f>
        <v>8372</v>
      </c>
      <c r="D6" s="21">
        <f>Tiers!$B$15*12</f>
        <v>8388</v>
      </c>
      <c r="E6" s="30">
        <f>IFERROR(D6/C6,0)</f>
        <v>1.001911132345915</v>
      </c>
      <c r="F6" s="21">
        <f>INDEX(Tiers!$D$5:$D$8,MATCH(A6,Tiers!$B$5:$B$8,1))*12</f>
        <v>8388</v>
      </c>
      <c r="G6" s="22">
        <f>IFERROR(F6/C6,0)</f>
        <v>1.001911132345915</v>
      </c>
      <c r="H6" s="14">
        <f>C6-F6</f>
        <v>-16</v>
      </c>
      <c r="I6" s="24">
        <f>IFERROR(F6/B6,0)</f>
        <v>2.304395604395604</v>
      </c>
    </row>
    <row r="7" spans="1:9" x14ac:dyDescent="0.25">
      <c r="A7" s="18">
        <v>15</v>
      </c>
      <c r="B7" s="19">
        <f>A7*Tiers!$B$13</f>
        <v>5460</v>
      </c>
      <c r="C7" s="14">
        <f>B7*$B$4</f>
        <v>12557.999999999998</v>
      </c>
      <c r="D7" s="21">
        <f>Tiers!$B$15*12</f>
        <v>8388</v>
      </c>
      <c r="E7" s="30">
        <f>IFERROR(D7/C7,0)</f>
        <v>0.6679407548972768</v>
      </c>
      <c r="F7" s="21">
        <f>INDEX(Tiers!$D$5:$D$8,MATCH(A7,Tiers!$B$5:$B$8,1))*12</f>
        <v>8388</v>
      </c>
      <c r="G7" s="22">
        <f>IFERROR(F7/C7,0)</f>
        <v>0.6679407548972768</v>
      </c>
      <c r="H7" s="14">
        <f>C7-F7</f>
        <v>4169.999999999998</v>
      </c>
      <c r="I7" s="24">
        <f>IFERROR(F7/B7,0)</f>
        <v>1.5362637362637364</v>
      </c>
    </row>
    <row r="8" spans="1:9" x14ac:dyDescent="0.25">
      <c r="A8" s="18">
        <v>20</v>
      </c>
      <c r="B8" s="19">
        <f>A8*Tiers!$B$13</f>
        <v>7280</v>
      </c>
      <c r="C8" s="14">
        <f>B8*$B$4</f>
        <v>16744</v>
      </c>
      <c r="D8" s="21">
        <f>Tiers!$B$15*12</f>
        <v>8388</v>
      </c>
      <c r="E8" s="30">
        <f>IFERROR(D8/C8,0)</f>
        <v>0.5009555661729574</v>
      </c>
      <c r="F8" s="21">
        <f>INDEX(Tiers!$D$5:$D$8,MATCH(A8,Tiers!$B$5:$B$8,1))*12</f>
        <v>8388</v>
      </c>
      <c r="G8" s="22">
        <f>IFERROR(F8/C8,0)</f>
        <v>0.5009555661729574</v>
      </c>
      <c r="H8" s="14">
        <f>C8-F8</f>
        <v>8356</v>
      </c>
      <c r="I8" s="24">
        <f>IFERROR(F8/B8,0)</f>
        <v>1.152197802197802</v>
      </c>
    </row>
    <row r="9" spans="1:9" x14ac:dyDescent="0.25">
      <c r="A9" s="18">
        <v>25</v>
      </c>
      <c r="B9" s="19">
        <f>A9*Tiers!$B$13</f>
        <v>9100</v>
      </c>
      <c r="C9" s="14">
        <f>B9*$B$4</f>
        <v>20930</v>
      </c>
      <c r="D9" s="21">
        <f>Tiers!$B$15*12</f>
        <v>8388</v>
      </c>
      <c r="E9" s="30">
        <f>IFERROR(D9/C9,0)</f>
        <v>0.400764452938366</v>
      </c>
      <c r="F9" s="21">
        <f>INDEX(Tiers!$D$5:$D$8,MATCH(A9,Tiers!$B$5:$B$8,1))*12</f>
        <v>8388</v>
      </c>
      <c r="G9" s="22">
        <f>IFERROR(F9/C9,0)</f>
        <v>0.400764452938366</v>
      </c>
      <c r="H9" s="14">
        <f>C9-F9</f>
        <v>12542</v>
      </c>
      <c r="I9" s="24">
        <f>IFERROR(F9/B9,0)</f>
        <v>0.9217582417582417</v>
      </c>
    </row>
    <row r="10" spans="1:9" x14ac:dyDescent="0.25">
      <c r="A10" s="18">
        <v>30</v>
      </c>
      <c r="B10" s="19">
        <f>A10*Tiers!$B$13</f>
        <v>10920</v>
      </c>
      <c r="C10" s="14">
        <f>B10*$B$4</f>
        <v>25115.999999999996</v>
      </c>
      <c r="D10" s="21">
        <f>Tiers!$B$15*12</f>
        <v>8388</v>
      </c>
      <c r="E10" s="30">
        <f>IFERROR(D10/C10,0)</f>
        <v>0.3339703774486384</v>
      </c>
      <c r="F10" s="21">
        <f>INDEX(Tiers!$D$5:$D$8,MATCH(A10,Tiers!$B$5:$B$8,1))*12</f>
        <v>8388</v>
      </c>
      <c r="G10" s="22">
        <f>IFERROR(F10/C10,0)</f>
        <v>0.3339703774486384</v>
      </c>
      <c r="H10" s="14">
        <f>C10-F10</f>
        <v>16727.999999999996</v>
      </c>
      <c r="I10" s="24">
        <f>IFERROR(F10/B10,0)</f>
        <v>0.7681318681318682</v>
      </c>
    </row>
    <row r="11" spans="1:9" x14ac:dyDescent="0.25">
      <c r="A11" s="18">
        <v>35</v>
      </c>
      <c r="B11" s="19">
        <f>A11*Tiers!$B$13</f>
        <v>12740</v>
      </c>
      <c r="C11" s="14">
        <f>B11*$B$4</f>
        <v>29301.999999999996</v>
      </c>
      <c r="D11" s="21">
        <f>Tiers!$B$15*12</f>
        <v>8388</v>
      </c>
      <c r="E11" s="30">
        <f>IFERROR(D11/C11,0)</f>
        <v>0.2862603235274043</v>
      </c>
      <c r="F11" s="21">
        <f>INDEX(Tiers!$D$5:$D$8,MATCH(A11,Tiers!$B$5:$B$8,1))*12</f>
        <v>8388</v>
      </c>
      <c r="G11" s="22">
        <f>IFERROR(F11/C11,0)</f>
        <v>0.2862603235274043</v>
      </c>
      <c r="H11" s="14">
        <f>C11-F11</f>
        <v>20913.999999999996</v>
      </c>
      <c r="I11" s="24">
        <f>IFERROR(F11/B11,0)</f>
        <v>0.6583987441130298</v>
      </c>
    </row>
    <row r="12" spans="1:9" x14ac:dyDescent="0.25">
      <c r="A12" s="18">
        <v>40</v>
      </c>
      <c r="B12" s="19">
        <f>A12*Tiers!$B$13</f>
        <v>14560</v>
      </c>
      <c r="C12" s="14">
        <f>B12*$B$4</f>
        <v>33488</v>
      </c>
      <c r="D12" s="21">
        <f>Tiers!$B$15*12</f>
        <v>8388</v>
      </c>
      <c r="E12" s="30">
        <f>IFERROR(D12/C12,0)</f>
        <v>0.2504777830864787</v>
      </c>
      <c r="F12" s="21">
        <f>INDEX(Tiers!$D$5:$D$8,MATCH(A12,Tiers!$B$5:$B$8,1))*12</f>
        <v>8388</v>
      </c>
      <c r="G12" s="22">
        <f>IFERROR(F12/C12,0)</f>
        <v>0.2504777830864787</v>
      </c>
      <c r="H12" s="14">
        <f>C12-F12</f>
        <v>25100</v>
      </c>
      <c r="I12" s="24">
        <f>IFERROR(F12/B12,0)</f>
        <v>0.576098901098901</v>
      </c>
    </row>
    <row r="13" spans="1:9" x14ac:dyDescent="0.25">
      <c r="A13" s="18">
        <v>45</v>
      </c>
      <c r="B13" s="19">
        <f>A13*Tiers!$B$13</f>
        <v>16380</v>
      </c>
      <c r="C13" s="14">
        <f>B13*$B$4</f>
        <v>37674</v>
      </c>
      <c r="D13" s="21">
        <f>Tiers!$B$15*12</f>
        <v>8388</v>
      </c>
      <c r="E13" s="30">
        <f>IFERROR(D13/C13,0)</f>
        <v>0.22264691829909222</v>
      </c>
      <c r="F13" s="21">
        <f>INDEX(Tiers!$D$5:$D$8,MATCH(A13,Tiers!$B$5:$B$8,1))*12</f>
        <v>11988</v>
      </c>
      <c r="G13" s="22">
        <f>IFERROR(F13/C13,0)</f>
        <v>0.31820353559483994</v>
      </c>
      <c r="H13" s="14">
        <f>C13-F13</f>
        <v>25686</v>
      </c>
      <c r="I13" s="24">
        <f>IFERROR(F13/B13,0)</f>
        <v>0.7318681318681318</v>
      </c>
    </row>
    <row r="14" spans="1:9" x14ac:dyDescent="0.25">
      <c r="A14" s="18">
        <v>50</v>
      </c>
      <c r="B14" s="19">
        <f>A14*Tiers!$B$13</f>
        <v>18200</v>
      </c>
      <c r="C14" s="14">
        <f>B14*$B$4</f>
        <v>41860</v>
      </c>
      <c r="D14" s="21">
        <f>Tiers!$B$15*12</f>
        <v>8388</v>
      </c>
      <c r="E14" s="30">
        <f>IFERROR(D14/C14,0)</f>
        <v>0.200382226469183</v>
      </c>
      <c r="F14" s="21">
        <f>INDEX(Tiers!$D$5:$D$8,MATCH(A14,Tiers!$B$5:$B$8,1))*12</f>
        <v>11988</v>
      </c>
      <c r="G14" s="22">
        <f>IFERROR(F14/C14,0)</f>
        <v>0.28638318203535595</v>
      </c>
      <c r="H14" s="14">
        <f>C14-F14</f>
        <v>29872</v>
      </c>
      <c r="I14" s="24">
        <f>IFERROR(F14/B14,0)</f>
        <v>0.6586813186813186</v>
      </c>
    </row>
    <row r="15" spans="1:9" x14ac:dyDescent="0.25">
      <c r="A15" s="18">
        <v>55</v>
      </c>
      <c r="B15" s="19">
        <f>A15*Tiers!$B$13</f>
        <v>20020</v>
      </c>
      <c r="C15" s="14">
        <f>B15*$B$4</f>
        <v>46046</v>
      </c>
      <c r="D15" s="21">
        <f>Tiers!$B$15*12</f>
        <v>8388</v>
      </c>
      <c r="E15" s="30">
        <f>IFERROR(D15/C15,0)</f>
        <v>0.18216566042652999</v>
      </c>
      <c r="F15" s="21">
        <f>INDEX(Tiers!$D$5:$D$8,MATCH(A15,Tiers!$B$5:$B$8,1))*12</f>
        <v>11988</v>
      </c>
      <c r="G15" s="22">
        <f>IFERROR(F15/C15,0)</f>
        <v>0.26034834730486905</v>
      </c>
      <c r="H15" s="14">
        <f>C15-F15</f>
        <v>34058</v>
      </c>
      <c r="I15" s="24">
        <f>IFERROR(F15/B15,0)</f>
        <v>0.5988011988011988</v>
      </c>
    </row>
    <row r="16" spans="1:9" x14ac:dyDescent="0.25">
      <c r="A16" s="18">
        <v>60</v>
      </c>
      <c r="B16" s="19">
        <f>A16*Tiers!$B$13</f>
        <v>21840</v>
      </c>
      <c r="C16" s="14">
        <f>B16*$B$4</f>
        <v>50231.99999999999</v>
      </c>
      <c r="D16" s="21">
        <f>Tiers!$B$15*12</f>
        <v>8388</v>
      </c>
      <c r="E16" s="30">
        <f>IFERROR(D16/C16,0)</f>
        <v>0.1669851887243192</v>
      </c>
      <c r="F16" s="21">
        <f>INDEX(Tiers!$D$5:$D$8,MATCH(A16,Tiers!$B$5:$B$8,1))*12</f>
        <v>11988</v>
      </c>
      <c r="G16" s="22">
        <f>IFERROR(F16/C16,0)</f>
        <v>0.23865265169612998</v>
      </c>
      <c r="H16" s="14">
        <f>C16-F16</f>
        <v>38243.99999999999</v>
      </c>
      <c r="I16" s="24">
        <f>IFERROR(F16/B16,0)</f>
        <v>0.548901098901099</v>
      </c>
    </row>
    <row r="17" spans="1:9" x14ac:dyDescent="0.25">
      <c r="A17" s="18">
        <v>65</v>
      </c>
      <c r="B17" s="19">
        <f>A17*Tiers!$B$13</f>
        <v>23660</v>
      </c>
      <c r="C17" s="14">
        <f>B17*$B$4</f>
        <v>54417.99999999999</v>
      </c>
      <c r="D17" s="21">
        <f>Tiers!$B$15*12</f>
        <v>8388</v>
      </c>
      <c r="E17" s="30">
        <f>IFERROR(D17/C17,0)</f>
        <v>0.15414017420706386</v>
      </c>
      <c r="F17" s="21">
        <f>INDEX(Tiers!$D$5:$D$8,MATCH(A17,Tiers!$B$5:$B$8,1))*12</f>
        <v>11988</v>
      </c>
      <c r="G17" s="22">
        <f>IFERROR(F17/C17,0)</f>
        <v>0.2202947554118123</v>
      </c>
      <c r="H17" s="14">
        <f>C17-F17</f>
        <v>42429.99999999999</v>
      </c>
      <c r="I17" s="24">
        <f>IFERROR(F17/B17,0)</f>
        <v>0.5066779374471683</v>
      </c>
    </row>
    <row r="18" spans="1:9" x14ac:dyDescent="0.25">
      <c r="A18" s="18">
        <v>70</v>
      </c>
      <c r="B18" s="19">
        <f>A18*Tiers!$B$13</f>
        <v>25480</v>
      </c>
      <c r="C18" s="14">
        <f>B18*$B$4</f>
        <v>58603.99999999999</v>
      </c>
      <c r="D18" s="21">
        <f>Tiers!$B$15*12</f>
        <v>8388</v>
      </c>
      <c r="E18" s="30">
        <f>IFERROR(D18/C18,0)</f>
        <v>0.14313016176370216</v>
      </c>
      <c r="F18" s="21">
        <f>INDEX(Tiers!$D$5:$D$8,MATCH(A18,Tiers!$B$5:$B$8,1))*12</f>
        <v>11988</v>
      </c>
      <c r="G18" s="22">
        <f>IFERROR(F18/C18,0)</f>
        <v>0.20455941573953998</v>
      </c>
      <c r="H18" s="14">
        <f>C18-F18</f>
        <v>46615.99999999999</v>
      </c>
      <c r="I18" s="24">
        <f>IFERROR(F18/B18,0)</f>
        <v>0.47048665620094193</v>
      </c>
    </row>
    <row r="19" spans="1:9" x14ac:dyDescent="0.25">
      <c r="A19" s="18">
        <v>75</v>
      </c>
      <c r="B19" s="19">
        <f>A19*Tiers!$B$13</f>
        <v>27300</v>
      </c>
      <c r="C19" s="14">
        <f>B19*$B$4</f>
        <v>62789.99999999999</v>
      </c>
      <c r="D19" s="21">
        <f>Tiers!$B$15*12</f>
        <v>8388</v>
      </c>
      <c r="E19" s="30">
        <f>IFERROR(D19/C19,0)</f>
        <v>0.13358815097945534</v>
      </c>
      <c r="F19" s="21">
        <f>INDEX(Tiers!$D$5:$D$8,MATCH(A19,Tiers!$B$5:$B$8,1))*12</f>
        <v>15588</v>
      </c>
      <c r="G19" s="22">
        <f>IFERROR(F19/C19,0)</f>
        <v>0.24825609173435265</v>
      </c>
      <c r="H19" s="14">
        <f>C19-F19</f>
        <v>47201.99999999999</v>
      </c>
      <c r="I19" s="24">
        <f>IFERROR(F19/B19,0)</f>
        <v>0.570989010989011</v>
      </c>
    </row>
    <row r="20" spans="1:9" x14ac:dyDescent="0.25">
      <c r="A20" s="18">
        <v>80</v>
      </c>
      <c r="B20" s="19">
        <f>A20*Tiers!$B$13</f>
        <v>29120</v>
      </c>
      <c r="C20" s="14">
        <f>B20*$B$4</f>
        <v>66976</v>
      </c>
      <c r="D20" s="21">
        <f>Tiers!$B$15*12</f>
        <v>8388</v>
      </c>
      <c r="E20" s="30">
        <f>IFERROR(D20/C20,0)</f>
        <v>0.12523889154323936</v>
      </c>
      <c r="F20" s="21">
        <f>INDEX(Tiers!$D$5:$D$8,MATCH(A20,Tiers!$B$5:$B$8,1))*12</f>
        <v>15588</v>
      </c>
      <c r="G20" s="22">
        <f>IFERROR(F20/C20,0)</f>
        <v>0.23274008600095555</v>
      </c>
      <c r="H20" s="14">
        <f>C20-F20</f>
        <v>51388</v>
      </c>
      <c r="I20" s="24">
        <f>IFERROR(F20/B20,0)</f>
        <v>0.5353021978021978</v>
      </c>
    </row>
    <row r="21" spans="1:9" x14ac:dyDescent="0.25">
      <c r="A21" s="18">
        <v>85</v>
      </c>
      <c r="B21" s="19">
        <f>A21*Tiers!$B$13</f>
        <v>30940</v>
      </c>
      <c r="C21" s="14">
        <f>B21*$B$4</f>
        <v>71162</v>
      </c>
      <c r="D21" s="21">
        <f>Tiers!$B$15*12</f>
        <v>8388</v>
      </c>
      <c r="E21" s="30">
        <f>IFERROR(D21/C21,0)</f>
        <v>0.11787189792304882</v>
      </c>
      <c r="F21" s="21">
        <f>INDEX(Tiers!$D$5:$D$8,MATCH(A21,Tiers!$B$5:$B$8,1))*12</f>
        <v>15588</v>
      </c>
      <c r="G21" s="22">
        <f>IFERROR(F21/C21,0)</f>
        <v>0.2190494927067817</v>
      </c>
      <c r="H21" s="14">
        <f>C21-F21</f>
        <v>55574</v>
      </c>
      <c r="I21" s="24">
        <f>IFERROR(F21/B21,0)</f>
        <v>0.5038138332255979</v>
      </c>
    </row>
    <row r="22" spans="1:9" x14ac:dyDescent="0.25">
      <c r="A22" s="18">
        <v>90</v>
      </c>
      <c r="B22" s="19">
        <f>A22*Tiers!$B$13</f>
        <v>32760</v>
      </c>
      <c r="C22" s="14">
        <f>B22*$B$4</f>
        <v>75348</v>
      </c>
      <c r="D22" s="21">
        <f>Tiers!$B$15*12</f>
        <v>8388</v>
      </c>
      <c r="E22" s="30">
        <f>IFERROR(D22/C22,0)</f>
        <v>0.11132345914954611</v>
      </c>
      <c r="F22" s="21">
        <f>INDEX(Tiers!$D$5:$D$8,MATCH(A22,Tiers!$B$5:$B$8,1))*12</f>
        <v>15588</v>
      </c>
      <c r="G22" s="22">
        <f>IFERROR(F22/C22,0)</f>
        <v>0.20688007644529383</v>
      </c>
      <c r="H22" s="14">
        <f>C22-F22</f>
        <v>59760</v>
      </c>
      <c r="I22" s="24">
        <f>IFERROR(F22/B22,0)</f>
        <v>0.4758241758241758</v>
      </c>
    </row>
    <row r="23" spans="1:9" x14ac:dyDescent="0.25">
      <c r="A23" s="18">
        <v>95</v>
      </c>
      <c r="B23" s="19">
        <f>A23*Tiers!$B$13</f>
        <v>34580</v>
      </c>
      <c r="C23" s="14">
        <f>B23*$B$4</f>
        <v>79534</v>
      </c>
      <c r="D23" s="21">
        <f>Tiers!$B$15*12</f>
        <v>8388</v>
      </c>
      <c r="E23" s="30">
        <f>IFERROR(D23/C23,0)</f>
        <v>0.10546432972062263</v>
      </c>
      <c r="F23" s="21">
        <f>INDEX(Tiers!$D$5:$D$8,MATCH(A23,Tiers!$B$5:$B$8,1))*12</f>
        <v>15588</v>
      </c>
      <c r="G23" s="22">
        <f>IFERROR(F23/C23,0)</f>
        <v>0.19599165136922575</v>
      </c>
      <c r="H23" s="14">
        <f>C23-F23</f>
        <v>63946</v>
      </c>
      <c r="I23" s="24">
        <f>IFERROR(F23/B23,0)</f>
        <v>0.4507807981492192</v>
      </c>
    </row>
    <row r="24" spans="1:9" x14ac:dyDescent="0.25">
      <c r="A24" s="18">
        <v>100</v>
      </c>
      <c r="B24" s="19">
        <f>A24*Tiers!$B$13</f>
        <v>36400</v>
      </c>
      <c r="C24" s="14">
        <f>B24*$B$4</f>
        <v>83720</v>
      </c>
      <c r="D24" s="21">
        <f>Tiers!$B$15*12</f>
        <v>8388</v>
      </c>
      <c r="E24" s="30">
        <f>IFERROR(D24/C24,0)</f>
        <v>0.1001911132345915</v>
      </c>
      <c r="F24" s="21">
        <f>INDEX(Tiers!$D$5:$D$8,MATCH(A24,Tiers!$B$5:$B$8,1))*12</f>
        <v>15588</v>
      </c>
      <c r="G24" s="22">
        <f>IFERROR(F24/C24,0)</f>
        <v>0.18619206880076444</v>
      </c>
      <c r="H24" s="14">
        <f>C24-F24</f>
        <v>68132</v>
      </c>
      <c r="I24" s="24">
        <f>IFERROR(F24/B24,0)</f>
        <v>0.42824175824175825</v>
      </c>
    </row>
    <row r="25" spans="1:9" x14ac:dyDescent="0.25">
      <c r="A25" s="18">
        <v>105</v>
      </c>
      <c r="B25" s="19">
        <f>A25*Tiers!$B$13</f>
        <v>38220</v>
      </c>
      <c r="C25" s="14">
        <f>B25*$B$4</f>
        <v>87906</v>
      </c>
      <c r="D25" s="21">
        <f>Tiers!$B$15*12</f>
        <v>8388</v>
      </c>
      <c r="E25" s="30">
        <f>IFERROR(D25/C25,0)</f>
        <v>0.09542010784246809</v>
      </c>
      <c r="F25" s="21">
        <f>INDEX(Tiers!$D$5:$D$8,MATCH(A25,Tiers!$B$5:$B$8,1))*12</f>
        <v>19188</v>
      </c>
      <c r="G25" s="22">
        <f>IFERROR(F25/C25,0)</f>
        <v>0.21827861579414373</v>
      </c>
      <c r="H25" s="14">
        <f>C25-F25</f>
        <v>68718</v>
      </c>
      <c r="I25" s="24">
        <f>IFERROR(F25/B25,0)</f>
        <v>0.5020408163265306</v>
      </c>
    </row>
    <row r="26" spans="1:9" x14ac:dyDescent="0.25">
      <c r="A26" s="18">
        <v>110</v>
      </c>
      <c r="B26" s="19">
        <f>A26*Tiers!$B$13</f>
        <v>40040</v>
      </c>
      <c r="C26" s="14">
        <f>B26*$B$4</f>
        <v>92092</v>
      </c>
      <c r="D26" s="21">
        <f>Tiers!$B$15*12</f>
        <v>8388</v>
      </c>
      <c r="E26" s="30">
        <f>IFERROR(D26/C26,0)</f>
        <v>0.09108283021326499</v>
      </c>
      <c r="F26" s="21">
        <f>INDEX(Tiers!$D$5:$D$8,MATCH(A26,Tiers!$B$5:$B$8,1))*12</f>
        <v>19188</v>
      </c>
      <c r="G26" s="22">
        <f>IFERROR(F26/C26,0)</f>
        <v>0.20835686053077357</v>
      </c>
      <c r="H26" s="14">
        <f>C26-F26</f>
        <v>72904</v>
      </c>
      <c r="I26" s="24">
        <f>IFERROR(F26/B26,0)</f>
        <v>0.4792207792207792</v>
      </c>
    </row>
    <row r="27" spans="1:9" x14ac:dyDescent="0.25">
      <c r="A27" s="18">
        <v>115</v>
      </c>
      <c r="B27" s="19">
        <f>A27*Tiers!$B$13</f>
        <v>41860</v>
      </c>
      <c r="C27" s="14">
        <f>B27*$B$4</f>
        <v>96277.99999999999</v>
      </c>
      <c r="D27" s="21">
        <f>Tiers!$B$15*12</f>
        <v>8388</v>
      </c>
      <c r="E27" s="30">
        <f>IFERROR(D27/C27,0)</f>
        <v>0.08712270716051436</v>
      </c>
      <c r="F27" s="21">
        <f>INDEX(Tiers!$D$5:$D$8,MATCH(A27,Tiers!$B$5:$B$8,1))*12</f>
        <v>19188</v>
      </c>
      <c r="G27" s="22">
        <f>IFERROR(F27/C27,0)</f>
        <v>0.199297866594653</v>
      </c>
      <c r="H27" s="14">
        <f>C27-F27</f>
        <v>77089.99999999999</v>
      </c>
      <c r="I27" s="24">
        <f>IFERROR(F27/B27,0)</f>
        <v>0.4583850931677019</v>
      </c>
    </row>
    <row r="28" spans="1:9" x14ac:dyDescent="0.25">
      <c r="A28" s="18">
        <v>120</v>
      </c>
      <c r="B28" s="19">
        <f>A28*Tiers!$B$13</f>
        <v>43680</v>
      </c>
      <c r="C28" s="14">
        <f>B28*$B$4</f>
        <v>100463.99999999999</v>
      </c>
      <c r="D28" s="21">
        <f>Tiers!$B$15*12</f>
        <v>8388</v>
      </c>
      <c r="E28" s="30">
        <f>IFERROR(D28/C28,0)</f>
        <v>0.0834925943621596</v>
      </c>
      <c r="F28" s="21">
        <f>INDEX(Tiers!$D$5:$D$8,MATCH(A28,Tiers!$B$5:$B$8,1))*12</f>
        <v>19188</v>
      </c>
      <c r="G28" s="22">
        <f>IFERROR(F28/C28,0)</f>
        <v>0.1909937888198758</v>
      </c>
      <c r="H28" s="14">
        <f>C28-F28</f>
        <v>81275.99999999999</v>
      </c>
      <c r="I28" s="24">
        <f>IFERROR(F28/B28,0)</f>
        <v>0.4392857142857143</v>
      </c>
    </row>
    <row r="30" spans="1:1" x14ac:dyDescent="0.25">
      <c r="A30" s="2" t="s">
        <v>97</v>
      </c>
    </row>
    <row r="31" spans="1:1" x14ac:dyDescent="0.25">
      <c r="A31" s="2" t="s">
        <v>98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4" customWidth="1"/>
    <col min="3" max="3" width="15" customWidth="1"/>
    <col min="4" max="4" width="56" customWidth="1"/>
  </cols>
  <sheetData>
    <row r="1" ht="26" customHeight="1" spans="1:8" x14ac:dyDescent="0.25">
      <c r="A1" s="1" t="s">
        <v>38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99</v>
      </c>
      <c r="B2" s="2"/>
      <c r="C2" s="2"/>
      <c r="D2" s="2"/>
      <c r="E2" s="2"/>
      <c r="F2" s="2"/>
      <c r="G2" s="2"/>
      <c r="H2" s="2"/>
    </row>
    <row r="3" spans="1:4" x14ac:dyDescent="0.25">
      <c r="A3" s="31" t="s">
        <v>100</v>
      </c>
      <c r="B3" s="31"/>
      <c r="C3" s="31"/>
      <c r="D3" s="31"/>
    </row>
    <row r="5" spans="1:1" x14ac:dyDescent="0.25">
      <c r="A5" s="16" t="s">
        <v>101</v>
      </c>
    </row>
    <row r="6" spans="1:4" x14ac:dyDescent="0.25">
      <c r="A6" s="17" t="s">
        <v>102</v>
      </c>
      <c r="B6" s="13">
        <v>180</v>
      </c>
      <c r="D6" s="32" t="s">
        <v>103</v>
      </c>
    </row>
    <row r="7" spans="1:4" x14ac:dyDescent="0.25">
      <c r="A7" s="17" t="s">
        <v>104</v>
      </c>
      <c r="B7" s="12">
        <v>4</v>
      </c>
      <c r="D7" s="32" t="s">
        <v>105</v>
      </c>
    </row>
    <row r="8" spans="1:4" x14ac:dyDescent="0.25">
      <c r="A8" s="17" t="s">
        <v>106</v>
      </c>
      <c r="B8" s="12">
        <v>1</v>
      </c>
      <c r="D8" s="32" t="s">
        <v>107</v>
      </c>
    </row>
    <row r="9" spans="1:2" x14ac:dyDescent="0.25">
      <c r="A9" s="11" t="s">
        <v>108</v>
      </c>
      <c r="B9" s="33">
        <f>(B7+B8)*B6/12</f>
        <v>75</v>
      </c>
    </row>
    <row r="11" ht="30" customHeight="1" spans="1:4" x14ac:dyDescent="0.25">
      <c r="A11" s="9" t="s">
        <v>109</v>
      </c>
      <c r="B11" s="10" t="s">
        <v>110</v>
      </c>
      <c r="C11" s="10" t="s">
        <v>85</v>
      </c>
      <c r="D11" s="10" t="s">
        <v>111</v>
      </c>
    </row>
    <row r="12" spans="1:4" x14ac:dyDescent="0.25">
      <c r="A12" s="17" t="s">
        <v>112</v>
      </c>
      <c r="B12" s="13">
        <v>2200</v>
      </c>
      <c r="C12" s="17" t="s">
        <v>85</v>
      </c>
      <c r="D12" s="32" t="s">
        <v>113</v>
      </c>
    </row>
    <row r="13" spans="1:4" x14ac:dyDescent="0.25">
      <c r="A13" s="17" t="s">
        <v>114</v>
      </c>
      <c r="B13" s="13">
        <v>250</v>
      </c>
      <c r="C13" s="17" t="s">
        <v>85</v>
      </c>
      <c r="D13" s="32" t="s">
        <v>115</v>
      </c>
    </row>
    <row r="14" spans="1:4" x14ac:dyDescent="0.25">
      <c r="A14" s="17" t="s">
        <v>116</v>
      </c>
      <c r="B14" s="13">
        <v>600</v>
      </c>
      <c r="C14" s="17" t="s">
        <v>85</v>
      </c>
      <c r="D14" s="32" t="s">
        <v>117</v>
      </c>
    </row>
    <row r="15" spans="1:4" x14ac:dyDescent="0.25">
      <c r="A15" s="17" t="s">
        <v>118</v>
      </c>
      <c r="B15" s="13">
        <v>300</v>
      </c>
      <c r="C15" s="17" t="s">
        <v>85</v>
      </c>
      <c r="D15" s="32" t="s">
        <v>119</v>
      </c>
    </row>
    <row r="16" spans="1:4" x14ac:dyDescent="0.25">
      <c r="A16" s="17" t="s">
        <v>120</v>
      </c>
      <c r="B16" s="13">
        <v>1000</v>
      </c>
      <c r="C16" s="17" t="s">
        <v>85</v>
      </c>
      <c r="D16" s="32" t="s">
        <v>121</v>
      </c>
    </row>
    <row r="17" spans="1:4" x14ac:dyDescent="0.25">
      <c r="A17" s="25" t="s">
        <v>122</v>
      </c>
      <c r="B17" s="27">
        <f>SUM(B12:B16)</f>
        <v>4350</v>
      </c>
      <c r="C17" s="26" t="s">
        <v>85</v>
      </c>
      <c r="D17" s="26" t="s">
        <v>85</v>
      </c>
    </row>
    <row r="19" ht="30" customHeight="1" spans="1:4" x14ac:dyDescent="0.25">
      <c r="A19" s="9" t="s">
        <v>123</v>
      </c>
      <c r="B19" s="10" t="s">
        <v>110</v>
      </c>
      <c r="C19" s="10" t="s">
        <v>124</v>
      </c>
      <c r="D19" s="10" t="s">
        <v>111</v>
      </c>
    </row>
    <row r="20" spans="1:4" x14ac:dyDescent="0.25">
      <c r="A20" s="17" t="s">
        <v>125</v>
      </c>
      <c r="B20" s="20">
        <v>120</v>
      </c>
      <c r="C20" s="15" t="s">
        <v>126</v>
      </c>
      <c r="D20" s="32" t="s">
        <v>127</v>
      </c>
    </row>
    <row r="21" spans="1:4" x14ac:dyDescent="0.25">
      <c r="A21" s="17" t="s">
        <v>128</v>
      </c>
      <c r="B21" s="20">
        <v>25</v>
      </c>
      <c r="C21" s="15" t="s">
        <v>126</v>
      </c>
      <c r="D21" s="32" t="s">
        <v>129</v>
      </c>
    </row>
    <row r="22" spans="1:4" x14ac:dyDescent="0.25">
      <c r="A22" s="17" t="s">
        <v>130</v>
      </c>
      <c r="B22" s="20">
        <v>30</v>
      </c>
      <c r="C22" s="15" t="s">
        <v>126</v>
      </c>
      <c r="D22" s="32" t="s">
        <v>131</v>
      </c>
    </row>
    <row r="23" spans="1:4" x14ac:dyDescent="0.25">
      <c r="A23" s="17" t="s">
        <v>132</v>
      </c>
      <c r="B23" s="34">
        <f>B9</f>
        <v>75</v>
      </c>
      <c r="C23" s="15" t="s">
        <v>133</v>
      </c>
      <c r="D23" s="32" t="s">
        <v>134</v>
      </c>
    </row>
    <row r="24" spans="1:4" x14ac:dyDescent="0.25">
      <c r="A24" s="17" t="s">
        <v>135</v>
      </c>
      <c r="B24" s="20">
        <v>15</v>
      </c>
      <c r="C24" s="15" t="s">
        <v>133</v>
      </c>
      <c r="D24" s="32" t="s">
        <v>136</v>
      </c>
    </row>
    <row r="25" spans="1:4" x14ac:dyDescent="0.25">
      <c r="A25" s="11" t="s">
        <v>137</v>
      </c>
      <c r="B25" s="33">
        <f>SUMIF(C20:C24,"Yes",B20:B24)</f>
        <v>175</v>
      </c>
      <c r="D25" s="32" t="s">
        <v>138</v>
      </c>
    </row>
    <row r="26" spans="1:2" x14ac:dyDescent="0.25">
      <c r="A26" s="11" t="s">
        <v>139</v>
      </c>
      <c r="B26" s="33">
        <f>SUMIF(C20:C24,"No",B20:B24)</f>
        <v>90</v>
      </c>
    </row>
    <row r="27" spans="1:4" x14ac:dyDescent="0.25">
      <c r="A27" s="25" t="s">
        <v>140</v>
      </c>
      <c r="B27" s="35">
        <f>B25+B26</f>
        <v>265</v>
      </c>
      <c r="C27" s="26" t="s">
        <v>85</v>
      </c>
      <c r="D27" s="26" t="s">
        <v>85</v>
      </c>
    </row>
    <row r="29" spans="1:4" x14ac:dyDescent="0.25">
      <c r="A29" s="11" t="s">
        <v>141</v>
      </c>
      <c r="B29" s="12">
        <v>30</v>
      </c>
      <c r="D29" s="32" t="s">
        <v>142</v>
      </c>
    </row>
    <row r="31" spans="1:1" x14ac:dyDescent="0.25">
      <c r="A31" s="16" t="s">
        <v>143</v>
      </c>
    </row>
    <row r="32" spans="1:4" x14ac:dyDescent="0.25">
      <c r="A32" s="17" t="s">
        <v>144</v>
      </c>
      <c r="B32" s="13">
        <v>1500</v>
      </c>
      <c r="D32" s="32" t="s">
        <v>145</v>
      </c>
    </row>
    <row r="33" spans="1:1" x14ac:dyDescent="0.25">
      <c r="A33" s="2" t="s">
        <v>146</v>
      </c>
    </row>
    <row r="35" ht="30" customHeight="1" spans="1:7" x14ac:dyDescent="0.25">
      <c r="A35" s="9" t="s">
        <v>147</v>
      </c>
      <c r="B35" s="10" t="s">
        <v>148</v>
      </c>
      <c r="C35" s="10" t="s">
        <v>66</v>
      </c>
      <c r="D35" s="10" t="s">
        <v>149</v>
      </c>
      <c r="E35" s="10" t="s">
        <v>150</v>
      </c>
      <c r="F35" s="10" t="s">
        <v>151</v>
      </c>
      <c r="G35" s="10" t="s">
        <v>152</v>
      </c>
    </row>
    <row r="36" spans="1:7" x14ac:dyDescent="0.25">
      <c r="A36" s="11" t="s">
        <v>153</v>
      </c>
      <c r="B36" s="21">
        <f>Tiers!D5</f>
        <v>699</v>
      </c>
      <c r="C36" s="15">
        <v>40</v>
      </c>
      <c r="D36" s="24">
        <f>$B$26+$B$25*(C36/$B$29)</f>
        <v>323.3333333333333</v>
      </c>
      <c r="E36" s="33">
        <f>B36-D36</f>
        <v>375.6666666666667</v>
      </c>
      <c r="F36" s="22">
        <f>IFERROR(E36/B36,0)</f>
        <v>0.5374344301382928</v>
      </c>
      <c r="G36" s="36">
        <f>IFERROR($B$17/E36,0)</f>
        <v>11.57941437444543</v>
      </c>
    </row>
    <row r="37" spans="1:7" x14ac:dyDescent="0.25">
      <c r="A37" s="11" t="s">
        <v>154</v>
      </c>
      <c r="B37" s="21">
        <f>Tiers!D6</f>
        <v>999</v>
      </c>
      <c r="C37" s="15">
        <v>70</v>
      </c>
      <c r="D37" s="24">
        <f>$B$26+$B$25*(C37/$B$29)</f>
        <v>498.33333333333337</v>
      </c>
      <c r="E37" s="33">
        <f>B37-D37</f>
        <v>500.66666666666663</v>
      </c>
      <c r="F37" s="22">
        <f>IFERROR(E37/B37,0)</f>
        <v>0.5011678345011678</v>
      </c>
      <c r="G37" s="36">
        <f>IFERROR($B$17/E37,0)</f>
        <v>8.688415446071906</v>
      </c>
    </row>
    <row r="38" spans="1:7" x14ac:dyDescent="0.25">
      <c r="A38" s="11" t="s">
        <v>155</v>
      </c>
      <c r="B38" s="21">
        <f>Tiers!D7</f>
        <v>1299</v>
      </c>
      <c r="C38" s="15">
        <v>100</v>
      </c>
      <c r="D38" s="24">
        <f>$B$26+$B$25*(C38/$B$29)</f>
        <v>673.3333333333334</v>
      </c>
      <c r="E38" s="33">
        <f>B38-D38</f>
        <v>625.6666666666666</v>
      </c>
      <c r="F38" s="22">
        <f>IFERROR(E38/B38,0)</f>
        <v>0.4816525532460867</v>
      </c>
      <c r="G38" s="36">
        <f>IFERROR($B$17/E38,0)</f>
        <v>6.952583910495472</v>
      </c>
    </row>
    <row r="39" spans="1:7" x14ac:dyDescent="0.25">
      <c r="A39" s="11" t="s">
        <v>156</v>
      </c>
      <c r="B39" s="21">
        <f>Tiers!D8</f>
        <v>1599</v>
      </c>
      <c r="C39" s="15">
        <v>120</v>
      </c>
      <c r="D39" s="24">
        <f>$B$26+$B$25*(C39/$B$29)</f>
        <v>790</v>
      </c>
      <c r="E39" s="33">
        <f>B39-D39</f>
        <v>809</v>
      </c>
      <c r="F39" s="22">
        <f>IFERROR(E39/B39,0)</f>
        <v>0.5059412132582864</v>
      </c>
      <c r="G39" s="36">
        <f>IFERROR($B$17/E39,0)</f>
        <v>5.377008652657602</v>
      </c>
    </row>
    <row r="41" spans="1:1" x14ac:dyDescent="0.25">
      <c r="A41" s="2" t="s">
        <v>157</v>
      </c>
    </row>
  </sheetData>
  <mergeCells count="3">
    <mergeCell ref="A1:H1"/>
    <mergeCell ref="A2:H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26" customWidth="1"/>
    <col min="2" max="4" width="13" customWidth="1"/>
    <col min="5" max="5" width="15" customWidth="1"/>
    <col min="6" max="6" width="16" customWidth="1"/>
    <col min="7" max="7" width="17" customWidth="1"/>
  </cols>
  <sheetData>
    <row r="1" ht="26" customHeight="1" spans="1:8" x14ac:dyDescent="0.25">
      <c r="A1" s="1" t="s">
        <v>158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159</v>
      </c>
      <c r="B2" s="2"/>
      <c r="C2" s="2"/>
      <c r="D2" s="2"/>
      <c r="E2" s="2"/>
      <c r="F2" s="2"/>
      <c r="G2" s="2"/>
      <c r="H2" s="2"/>
    </row>
    <row r="5" ht="30" customHeight="1" spans="1:7" x14ac:dyDescent="0.25">
      <c r="A5" s="9" t="s">
        <v>46</v>
      </c>
      <c r="B5" s="10" t="s">
        <v>160</v>
      </c>
      <c r="C5" s="10" t="s">
        <v>148</v>
      </c>
      <c r="D5" s="10" t="s">
        <v>161</v>
      </c>
      <c r="E5" s="10" t="s">
        <v>162</v>
      </c>
      <c r="F5" s="10" t="s">
        <v>163</v>
      </c>
      <c r="G5" s="10" t="s">
        <v>164</v>
      </c>
    </row>
    <row r="6" spans="1:7" x14ac:dyDescent="0.25">
      <c r="A6" s="11" t="s">
        <v>153</v>
      </c>
      <c r="B6" s="12">
        <v>12</v>
      </c>
      <c r="C6" s="21">
        <f>Tiers!D5</f>
        <v>699</v>
      </c>
      <c r="D6" s="15">
        <v>21</v>
      </c>
      <c r="E6" s="24">
        <f>'Cost to serve'!$B$26+'Cost to serve'!$B$25*(D6/'Cost to serve'!$B$29)</f>
        <v>212.5</v>
      </c>
      <c r="F6" s="14">
        <f>B6*(C6-E6)</f>
        <v>5838</v>
      </c>
      <c r="G6" s="14">
        <f>B6*'Cost to serve'!$B$17</f>
        <v>52200</v>
      </c>
    </row>
    <row r="7" spans="1:7" x14ac:dyDescent="0.25">
      <c r="A7" s="11" t="s">
        <v>154</v>
      </c>
      <c r="B7" s="12">
        <v>6</v>
      </c>
      <c r="C7" s="21">
        <f>Tiers!D6</f>
        <v>999</v>
      </c>
      <c r="D7" s="15">
        <v>56</v>
      </c>
      <c r="E7" s="24">
        <f>'Cost to serve'!$B$26+'Cost to serve'!$B$25*(D7/'Cost to serve'!$B$29)</f>
        <v>416.6666666666667</v>
      </c>
      <c r="F7" s="14">
        <f>B7*(C7-E7)</f>
        <v>3493.9999999999995</v>
      </c>
      <c r="G7" s="14">
        <f>B7*'Cost to serve'!$B$17</f>
        <v>26100</v>
      </c>
    </row>
    <row r="8" spans="1:7" x14ac:dyDescent="0.25">
      <c r="A8" s="11" t="s">
        <v>155</v>
      </c>
      <c r="B8" s="12">
        <v>3</v>
      </c>
      <c r="C8" s="21">
        <f>Tiers!D7</f>
        <v>1299</v>
      </c>
      <c r="D8" s="15">
        <v>86</v>
      </c>
      <c r="E8" s="24">
        <f>'Cost to serve'!$B$26+'Cost to serve'!$B$25*(D8/'Cost to serve'!$B$29)</f>
        <v>591.6666666666667</v>
      </c>
      <c r="F8" s="14">
        <f>B8*(C8-E8)</f>
        <v>2122</v>
      </c>
      <c r="G8" s="14">
        <f>B8*'Cost to serve'!$B$17</f>
        <v>13050</v>
      </c>
    </row>
    <row r="9" spans="1:7" x14ac:dyDescent="0.25">
      <c r="A9" s="11" t="s">
        <v>156</v>
      </c>
      <c r="B9" s="12">
        <v>1</v>
      </c>
      <c r="C9" s="21">
        <f>Tiers!D8</f>
        <v>1599</v>
      </c>
      <c r="D9" s="15">
        <v>111</v>
      </c>
      <c r="E9" s="24">
        <f>'Cost to serve'!$B$26+'Cost to serve'!$B$25*(D9/'Cost to serve'!$B$29)</f>
        <v>737.5</v>
      </c>
      <c r="F9" s="14">
        <f>B9*(C9-E9)</f>
        <v>861.5</v>
      </c>
      <c r="G9" s="14">
        <f>B9*'Cost to serve'!$B$17</f>
        <v>4350</v>
      </c>
    </row>
    <row r="10" spans="1:7" x14ac:dyDescent="0.25">
      <c r="A10" s="25" t="s">
        <v>165</v>
      </c>
      <c r="B10" s="37">
        <f>SUM(B6:B9)</f>
        <v>22</v>
      </c>
      <c r="C10" s="26" t="s">
        <v>85</v>
      </c>
      <c r="D10" s="26" t="s">
        <v>85</v>
      </c>
      <c r="E10" s="26" t="s">
        <v>85</v>
      </c>
      <c r="F10" s="27">
        <f>SUM(F6:F9)</f>
        <v>12315.5</v>
      </c>
      <c r="G10" s="27">
        <f>SUM(G6:G9)</f>
        <v>95700</v>
      </c>
    </row>
    <row r="12" spans="1:2" x14ac:dyDescent="0.25">
      <c r="A12" s="11" t="s">
        <v>166</v>
      </c>
      <c r="B12" s="14">
        <f>F10</f>
        <v>12315.5</v>
      </c>
    </row>
    <row r="13" spans="1:2" x14ac:dyDescent="0.25">
      <c r="A13" s="17" t="s">
        <v>167</v>
      </c>
      <c r="B13" s="14">
        <f>-'Cost to serve'!$B$32</f>
        <v>-1500</v>
      </c>
    </row>
    <row r="14" spans="1:2" x14ac:dyDescent="0.25">
      <c r="A14" s="25" t="s">
        <v>168</v>
      </c>
      <c r="B14" s="27">
        <f>B12+B13</f>
        <v>10815.5</v>
      </c>
    </row>
    <row r="15" spans="1:2" x14ac:dyDescent="0.25">
      <c r="A15" s="11" t="s">
        <v>169</v>
      </c>
      <c r="B15" s="38">
        <f>B14*12</f>
        <v>129786</v>
      </c>
    </row>
    <row r="16" spans="1:2" x14ac:dyDescent="0.25">
      <c r="A16" s="11" t="s">
        <v>170</v>
      </c>
      <c r="B16" s="18">
        <f>ROUNDUP('Cost to serve'!$B$32/(F10/B10),0)</f>
        <v>3</v>
      </c>
    </row>
    <row r="18" spans="1:1" x14ac:dyDescent="0.25">
      <c r="A18" s="16" t="s">
        <v>171</v>
      </c>
    </row>
    <row r="19" spans="1:2" x14ac:dyDescent="0.25">
      <c r="A19" s="17" t="s">
        <v>172</v>
      </c>
      <c r="B19" s="14">
        <f>B10*Tiers!$B$15*12</f>
        <v>184536</v>
      </c>
    </row>
    <row r="20" spans="1:2" x14ac:dyDescent="0.25">
      <c r="A20" s="11" t="s">
        <v>173</v>
      </c>
      <c r="B20" s="39">
        <f>SUMPRODUCT(B6:B9,C6:C9)*12</f>
        <v>238536</v>
      </c>
    </row>
    <row r="21" spans="1:2" x14ac:dyDescent="0.25">
      <c r="A21" s="11" t="s">
        <v>174</v>
      </c>
      <c r="B21" s="38">
        <f>B20-B19</f>
        <v>54000</v>
      </c>
    </row>
    <row r="23" spans="1:1" x14ac:dyDescent="0.25">
      <c r="A23" s="2" t="s">
        <v>175</v>
      </c>
    </row>
    <row r="24" spans="1:1" x14ac:dyDescent="0.25">
      <c r="A24" s="2" t="s">
        <v>176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Tiers</vt:lpstr>
      <vt:lpstr>Venue economics</vt:lpstr>
      <vt:lpstr>Capture curve</vt:lpstr>
      <vt:lpstr>Cost to serve</vt:lpstr>
      <vt:lpstr>Revenue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HydrateServe</dc:creator>
  <dc:title/>
  <dc:subject/>
  <dc:description/>
  <cp:keywords/>
  <cp:category/>
  <cp:lastModifiedBy>Unknown</cp:lastModifiedBy>
  <dcterms:created xsi:type="dcterms:W3CDTF">2026-07-26T17:00:00Z</dcterms:created>
  <dcterms:modified xsi:type="dcterms:W3CDTF">2026-08-01T06:29:58Z</dcterms:modified>
</cp:coreProperties>
</file>